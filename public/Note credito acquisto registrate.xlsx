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80e1bf847419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Note credito acquisto registr.." sheetId="1" state="visible" r:id="R9f7fcda1461044fb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#,##0.##########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1f197e055435c" /><Relationship Type="http://schemas.openxmlformats.org/officeDocument/2006/relationships/worksheet" Target="/xl/worksheets/sheet2.xml" Id="R9f7fcda1461044fb" /></Relationships>
</file>

<file path=xl/tables/table1.xml><?xml version="1.0" encoding="utf-8"?>
<x:table xmlns:x="http://schemas.openxmlformats.org/spreadsheetml/2006/main" id="1" name="Table1" displayName="Table1" ref="A1:X20" totalsRowShown="0">
  <x:autoFilter ref="A1:X20"/>
  <x:tableColumns count="24">
    <x:tableColumn id="1" name="Nr."/>
    <x:tableColumn id="2" name="Acquistare da - Nr. for."/>
    <x:tableColumn id="3" name="Acquistare da - Nome for."/>
    <x:tableColumn id="4" name="Cod. valuta"/>
    <x:tableColumn id="5" name="Data scadenza"/>
    <x:tableColumn id="6" name="Importo"/>
    <x:tableColumn id="7" name="Importo IVA inclusa"/>
    <x:tableColumn id="8" name="Importo residuo"/>
    <x:tableColumn id="9" name="Pagato"/>
    <x:tableColumn id="10" name="Annullato"/>
    <x:tableColumn id="11" name="Rettifica"/>
    <x:tableColumn id="12" name="Pagare a - CAP"/>
    <x:tableColumn id="13" name="Pagare a - Cod. paese"/>
    <x:tableColumn id="14" name="Data di registrazione"/>
    <x:tableColumn id="15" name="Cod. ubicazione"/>
    <x:tableColumn id="16" name="Copie stampate"/>
    <x:tableColumn id="17" name="Data documento"/>
    <x:tableColumn id="18" name="Pagare a - Indirizzo"/>
    <x:tableColumn id="19" name="Pagare a - Città"/>
    <x:tableColumn id="20" name="Cat. reg. fornitore"/>
    <x:tableColumn id="21" name="Fattore valuta"/>
    <x:tableColumn id="22" name="Partita IVA"/>
    <x:tableColumn id="23" name="Codice fiscale"/>
    <x:tableColumn id="24" name="Tipo Documento Fattura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44" bestFit="1" customWidth="1"/>
    <x:col min="2" max="2" width="22.66" bestFit="1" customWidth="1"/>
    <x:col min="3" max="3" width="25.3" bestFit="1" customWidth="1"/>
    <x:col min="4" max="4" width="12.6" bestFit="1" customWidth="1"/>
    <x:col min="5" max="5" width="15.37" bestFit="1" customWidth="1"/>
    <x:col min="6" max="6" width="9.9" bestFit="1" customWidth="1"/>
    <x:col min="7" max="7" width="19.94" bestFit="1" customWidth="1"/>
    <x:col min="8" max="8" width="16.96" bestFit="1" customWidth="1"/>
    <x:col min="9" max="9" width="8.81" bestFit="1" customWidth="1"/>
    <x:col min="10" max="10" width="11.28" bestFit="1" customWidth="1"/>
    <x:col min="11" max="11" width="10.04" bestFit="1" customWidth="1"/>
    <x:col min="12" max="12" width="15.45" bestFit="1" customWidth="1"/>
    <x:col min="13" max="13" width="21.55" bestFit="1" customWidth="1"/>
    <x:col min="14" max="14" width="20.85" bestFit="1" customWidth="1"/>
    <x:col min="15" max="15" width="16.6" bestFit="1" customWidth="1"/>
    <x:col min="16" max="16" width="16.52" bestFit="1" customWidth="1"/>
    <x:col min="17" max="17" width="17.46" bestFit="1" customWidth="1"/>
    <x:col min="18" max="18" width="19.33" bestFit="1" customWidth="1"/>
    <x:col min="19" max="19" width="16.06" bestFit="1" customWidth="1"/>
    <x:col min="20" max="20" width="18.43" bestFit="1" customWidth="1"/>
    <x:col min="21" max="21" width="15.07" bestFit="1" customWidth="1"/>
    <x:col min="22" max="22" width="12.13" bestFit="1" customWidth="1"/>
    <x:col min="23" max="23" width="14.65" bestFit="1" customWidth="1"/>
    <x:col min="24" max="24" width="24.24" bestFit="1" customWidth="1"/>
  </x:cols>
  <x:sheetData>
    <x:row r="1">
      <x:c r="A1" s="1" t="inlineStr">
        <x:is>
          <x:t xml:space="preserve">Nr.</x:t>
        </x:is>
      </x:c>
      <x:c r="B1" s="1" t="inlineStr">
        <x:is>
          <x:t xml:space="preserve">Acquistare da - Nr. for.</x:t>
        </x:is>
      </x:c>
      <x:c r="C1" s="1" t="inlineStr">
        <x:is>
          <x:t xml:space="preserve">Acquistare da - Nome for.</x:t>
        </x:is>
      </x:c>
      <x:c r="D1" s="1" t="inlineStr">
        <x:is>
          <x:t xml:space="preserve">Cod. valuta</x:t>
        </x:is>
      </x:c>
      <x:c r="E1" s="1" t="inlineStr">
        <x:is>
          <x:t xml:space="preserve">Data scadenza</x:t>
        </x:is>
      </x:c>
      <x:c r="F1" s="1" t="inlineStr">
        <x:is>
          <x:t xml:space="preserve">Importo</x:t>
        </x:is>
      </x:c>
      <x:c r="G1" s="1" t="inlineStr">
        <x:is>
          <x:t xml:space="preserve">Importo IVA inclusa</x:t>
        </x:is>
      </x:c>
      <x:c r="H1" s="1" t="inlineStr">
        <x:is>
          <x:t xml:space="preserve">Importo residuo</x:t>
        </x:is>
      </x:c>
      <x:c r="I1" s="1" t="inlineStr">
        <x:is>
          <x:t xml:space="preserve">Pagato</x:t>
        </x:is>
      </x:c>
      <x:c r="J1" s="1" t="inlineStr">
        <x:is>
          <x:t xml:space="preserve">Annullato</x:t>
        </x:is>
      </x:c>
      <x:c r="K1" s="1" t="inlineStr">
        <x:is>
          <x:t xml:space="preserve">Rettifica</x:t>
        </x:is>
      </x:c>
      <x:c r="L1" s="1" t="inlineStr">
        <x:is>
          <x:t xml:space="preserve">Pagare a - CAP</x:t>
        </x:is>
      </x:c>
      <x:c r="M1" s="1" t="inlineStr">
        <x:is>
          <x:t xml:space="preserve">Pagare a - Cod. paese</x:t>
        </x:is>
      </x:c>
      <x:c r="N1" s="1" t="inlineStr">
        <x:is>
          <x:t xml:space="preserve">Data di registrazione</x:t>
        </x:is>
      </x:c>
      <x:c r="O1" s="1" t="inlineStr">
        <x:is>
          <x:t xml:space="preserve">Cod. ubicazione</x:t>
        </x:is>
      </x:c>
      <x:c r="P1" s="1" t="inlineStr">
        <x:is>
          <x:t xml:space="preserve">Copie stampate</x:t>
        </x:is>
      </x:c>
      <x:c r="Q1" s="1" t="inlineStr">
        <x:is>
          <x:t xml:space="preserve">Data documento</x:t>
        </x:is>
      </x:c>
      <x:c r="R1" s="1" t="inlineStr">
        <x:is>
          <x:t xml:space="preserve">Pagare a - Indirizzo</x:t>
        </x:is>
      </x:c>
      <x:c r="S1" s="1" t="inlineStr">
        <x:is>
          <x:t xml:space="preserve">Pagare a - Città</x:t>
        </x:is>
      </x:c>
      <x:c r="T1" s="1" t="inlineStr">
        <x:is>
          <x:t xml:space="preserve">Cat. reg. fornitore</x:t>
        </x:is>
      </x:c>
      <x:c r="U1" s="1" t="inlineStr">
        <x:is>
          <x:t xml:space="preserve">Fattore valuta</x:t>
        </x:is>
      </x:c>
      <x:c r="V1" s="1" t="inlineStr">
        <x:is>
          <x:t xml:space="preserve">Partita IVA</x:t>
        </x:is>
      </x:c>
      <x:c r="W1" s="1" t="inlineStr">
        <x:is>
          <x:t xml:space="preserve">Codice fiscale</x:t>
        </x:is>
      </x:c>
      <x:c r="X1" s="1" t="inlineStr">
        <x:is>
          <x:t xml:space="preserve">Tipo Documento Fattura</x:t>
        </x:is>
      </x:c>
    </x:row>
    <x:row r="2">
      <x:c r="A2" s="2" t="inlineStr">
        <x:is>
          <x:t xml:space="preserve">FAI25-00280</x:t>
        </x:is>
      </x:c>
      <x:c r="B2" s="2" t="inlineStr">
        <x:is>
          <x:t xml:space="preserve">F00075</x:t>
        </x:is>
      </x:c>
      <x:c r="C2" s="2" t="inlineStr">
        <x:is>
          <x:t xml:space="preserve">Policastro Antonio</x:t>
        </x:is>
      </x:c>
      <x:c r="D2" s="2" t="inlineStr">
        <x:is>
          <x:t xml:space="preserve"/>
        </x:is>
      </x:c>
      <x:c r="E2" s="3" t="n">
        <x:v/>
      </x:c>
      <x:c r="F2" s="4" t="n">
        <x:v>2436.25</x:v>
      </x:c>
      <x:c r="G2" s="4" t="n">
        <x:v>2436.25</x:v>
      </x:c>
      <x:c r="H2" s="4" t="n">
        <x:v>-2436.25</x:v>
      </x:c>
      <x:c r="I2" s="5" t="n">
        <x:f>FALSE()</x:f>
        <x:v>0</x:v>
      </x:c>
      <x:c r="J2" s="5" t="n">
        <x:f>FALSE()</x:f>
        <x:v>0</x:v>
      </x:c>
      <x:c r="K2" s="5" t="n">
        <x:f>FALSE()</x:f>
        <x:v>0</x:v>
      </x:c>
      <x:c r="L2" s="2" t="inlineStr">
        <x:is>
          <x:t xml:space="preserve">76123</x:t>
        </x:is>
      </x:c>
      <x:c r="M2" s="2" t="inlineStr">
        <x:is>
          <x:t xml:space="preserve">IT</x:t>
        </x:is>
      </x:c>
      <x:c r="N2" s="3" t="n">
        <x:v>46022</x:v>
      </x:c>
      <x:c r="O2" s="2" t="inlineStr">
        <x:is>
          <x:t xml:space="preserve"/>
        </x:is>
      </x:c>
      <x:c r="P2" s="5" t="n">
        <x:v>0</x:v>
      </x:c>
      <x:c r="Q2" s="3" t="n">
        <x:v>46022</x:v>
      </x:c>
      <x:c r="R2" s="2" t="inlineStr">
        <x:is>
          <x:t xml:space="preserve">Via Parigi, 107</x:t>
        </x:is>
      </x:c>
      <x:c r="S2" s="2" t="inlineStr">
        <x:is>
          <x:t xml:space="preserve">ANDRIA</x:t>
        </x:is>
      </x:c>
      <x:c r="T2" s="2" t="inlineStr">
        <x:is>
          <x:t xml:space="preserve">FOR_IT</x:t>
        </x:is>
      </x:c>
      <x:c r="U2" s="6" t="n">
        <x:v>0</x:v>
      </x:c>
      <x:c r="V2" s="2" t="inlineStr">
        <x:is>
          <x:t xml:space="preserve">08765860724</x:t>
        </x:is>
      </x:c>
      <x:c r="W2" s="2" t="inlineStr">
        <x:is>
          <x:t xml:space="preserve">PLCNTN69P02A285N</x:t>
        </x:is>
      </x:c>
      <x:c r="X2" s="2" t="inlineStr">
        <x:is>
          <x:t xml:space="preserve">TD04</x:t>
        </x:is>
      </x:c>
    </x:row>
    <x:row r="3">
      <x:c r="A3" s="2" t="inlineStr">
        <x:is>
          <x:t xml:space="preserve">FAI25-00279</x:t>
        </x:is>
      </x:c>
      <x:c r="B3" s="2" t="inlineStr">
        <x:is>
          <x:t xml:space="preserve">F00113</x:t>
        </x:is>
      </x:c>
      <x:c r="C3" s="2" t="inlineStr">
        <x:is>
          <x:t xml:space="preserve">lexitor servizi srls</x:t>
        </x:is>
      </x:c>
      <x:c r="D3" s="2" t="inlineStr">
        <x:is>
          <x:t xml:space="preserve"/>
        </x:is>
      </x:c>
      <x:c r="E3" s="3" t="n">
        <x:v/>
      </x:c>
      <x:c r="F3" s="4" t="n">
        <x:v>24649.18</x:v>
      </x:c>
      <x:c r="G3" s="4" t="n">
        <x:v>30072</x:v>
      </x:c>
      <x:c r="H3" s="4" t="n">
        <x:v>0</x:v>
      </x:c>
      <x:c r="I3" s="5" t="n">
        <x:f>TRUE()</x:f>
        <x:v>1</x:v>
      </x:c>
      <x:c r="J3" s="5" t="n">
        <x:f>FALSE()</x:f>
        <x:v>0</x:v>
      </x:c>
      <x:c r="K3" s="5" t="n">
        <x:f>FALSE()</x:f>
        <x:v>0</x:v>
      </x:c>
      <x:c r="L3" s="2" t="inlineStr">
        <x:is>
          <x:t xml:space="preserve">80132</x:t>
        </x:is>
      </x:c>
      <x:c r="M3" s="2" t="inlineStr">
        <x:is>
          <x:t xml:space="preserve">IT</x:t>
        </x:is>
      </x:c>
      <x:c r="N3" s="3" t="n">
        <x:v>46022</x:v>
      </x:c>
      <x:c r="O3" s="2" t="inlineStr">
        <x:is>
          <x:t xml:space="preserve"/>
        </x:is>
      </x:c>
      <x:c r="P3" s="5" t="n">
        <x:v>0</x:v>
      </x:c>
      <x:c r="Q3" s="3" t="n">
        <x:v>46021</x:v>
      </x:c>
      <x:c r="R3" s="2" t="inlineStr">
        <x:is>
          <x:t xml:space="preserve">Via Toledo 256 </x:t>
        </x:is>
      </x:c>
      <x:c r="S3" s="2" t="inlineStr">
        <x:is>
          <x:t xml:space="preserve">Napoli</x:t>
        </x:is>
      </x:c>
      <x:c r="T3" s="2" t="inlineStr">
        <x:is>
          <x:t xml:space="preserve">FOR_IT</x:t>
        </x:is>
      </x:c>
      <x:c r="U3" s="6" t="n">
        <x:v>0</x:v>
      </x:c>
      <x:c r="V3" s="2" t="inlineStr">
        <x:is>
          <x:t xml:space="preserve">09729991217</x:t>
        </x:is>
      </x:c>
      <x:c r="W3" s="2" t="inlineStr">
        <x:is>
          <x:t xml:space="preserve">09729991217</x:t>
        </x:is>
      </x:c>
      <x:c r="X3" s="2" t="inlineStr">
        <x:is>
          <x:t xml:space="preserve">TD04</x:t>
        </x:is>
      </x:c>
    </x:row>
    <x:row r="4">
      <x:c r="A4" s="2" t="inlineStr">
        <x:is>
          <x:t xml:space="preserve">FAI25-00232</x:t>
        </x:is>
      </x:c>
      <x:c r="B4" s="2" t="inlineStr">
        <x:is>
          <x:t xml:space="preserve">F00049</x:t>
        </x:is>
      </x:c>
      <x:c r="C4" s="2" t="inlineStr">
        <x:is>
          <x:t xml:space="preserve">Innero Emilia</x:t>
        </x:is>
      </x:c>
      <x:c r="D4" s="2" t="inlineStr">
        <x:is>
          <x:t xml:space="preserve"/>
        </x:is>
      </x:c>
      <x:c r="E4" s="3" t="n">
        <x:v/>
      </x:c>
      <x:c r="F4" s="4" t="n">
        <x:v>9562.08</x:v>
      </x:c>
      <x:c r="G4" s="4" t="n">
        <x:v>9562.08</x:v>
      </x:c>
      <x:c r="H4" s="4" t="n">
        <x:v>0</x:v>
      </x:c>
      <x:c r="I4" s="5" t="n">
        <x:f>TRUE()</x:f>
        <x:v>1</x:v>
      </x:c>
      <x:c r="J4" s="5" t="n">
        <x:f>FALSE()</x:f>
        <x:v>0</x:v>
      </x:c>
      <x:c r="K4" s="5" t="n">
        <x:f>FALSE()</x:f>
        <x:v>0</x:v>
      </x:c>
      <x:c r="L4" s="2" t="inlineStr">
        <x:is>
          <x:t xml:space="preserve">65126</x:t>
        </x:is>
      </x:c>
      <x:c r="M4" s="2" t="inlineStr">
        <x:is>
          <x:t xml:space="preserve">IT</x:t>
        </x:is>
      </x:c>
      <x:c r="N4" s="3" t="n">
        <x:v>45950</x:v>
      </x:c>
      <x:c r="O4" s="2" t="inlineStr">
        <x:is>
          <x:t xml:space="preserve"/>
        </x:is>
      </x:c>
      <x:c r="P4" s="5" t="n">
        <x:v>0</x:v>
      </x:c>
      <x:c r="Q4" s="3" t="n">
        <x:v>45950</x:v>
      </x:c>
      <x:c r="R4" s="2" t="inlineStr">
        <x:is>
          <x:t xml:space="preserve">via Guelfi 60</x:t>
        </x:is>
      </x:c>
      <x:c r="S4" s="2" t="inlineStr">
        <x:is>
          <x:t xml:space="preserve">Pescara</x:t>
        </x:is>
      </x:c>
      <x:c r="T4" s="2" t="inlineStr">
        <x:is>
          <x:t xml:space="preserve">FOR_IT</x:t>
        </x:is>
      </x:c>
      <x:c r="U4" s="6" t="n">
        <x:v>0</x:v>
      </x:c>
      <x:c r="V4" s="2" t="inlineStr">
        <x:is>
          <x:t xml:space="preserve">02333660682</x:t>
        </x:is>
      </x:c>
      <x:c r="W4" s="2" t="inlineStr">
        <x:is>
          <x:t xml:space="preserve">NNRMLE82R70G482W</x:t>
        </x:is>
      </x:c>
      <x:c r="X4" s="2" t="inlineStr">
        <x:is>
          <x:t xml:space="preserve">TD04</x:t>
        </x:is>
      </x:c>
    </x:row>
    <x:row r="5">
      <x:c r="A5" s="2" t="inlineStr">
        <x:is>
          <x:t xml:space="preserve">FAI25-00219</x:t>
        </x:is>
      </x:c>
      <x:c r="B5" s="2" t="inlineStr">
        <x:is>
          <x:t xml:space="preserve">F00006</x:t>
        </x:is>
      </x:c>
      <x:c r="C5" s="2" t="inlineStr">
        <x:is>
          <x:t xml:space="preserve">Muscetti Gennaro</x:t>
        </x:is>
      </x:c>
      <x:c r="D5" s="2" t="inlineStr">
        <x:is>
          <x:t xml:space="preserve"/>
        </x:is>
      </x:c>
      <x:c r="E5" s="3" t="n">
        <x:v/>
      </x:c>
      <x:c r="F5" s="4" t="n">
        <x:v>2706</x:v>
      </x:c>
      <x:c r="G5" s="4" t="n">
        <x:v>2706</x:v>
      </x:c>
      <x:c r="H5" s="4" t="n">
        <x:v>0</x:v>
      </x:c>
      <x:c r="I5" s="5" t="n">
        <x:f>TRUE()</x:f>
        <x:v>1</x:v>
      </x:c>
      <x:c r="J5" s="5" t="n">
        <x:f>FALSE()</x:f>
        <x:v>0</x:v>
      </x:c>
      <x:c r="K5" s="5" t="n">
        <x:f>FALSE()</x:f>
        <x:v>0</x:v>
      </x:c>
      <x:c r="L5" s="2" t="inlineStr">
        <x:is>
          <x:t xml:space="preserve">80022</x:t>
        </x:is>
      </x:c>
      <x:c r="M5" s="2" t="inlineStr">
        <x:is>
          <x:t xml:space="preserve">IT</x:t>
        </x:is>
      </x:c>
      <x:c r="N5" s="3" t="n">
        <x:v>45943</x:v>
      </x:c>
      <x:c r="O5" s="2" t="inlineStr">
        <x:is>
          <x:t xml:space="preserve"/>
        </x:is>
      </x:c>
      <x:c r="P5" s="5" t="n">
        <x:v>0</x:v>
      </x:c>
      <x:c r="Q5" s="3" t="n">
        <x:v>45940</x:v>
      </x:c>
      <x:c r="R5" s="2" t="inlineStr">
        <x:is>
          <x:t xml:space="preserve">VIA ANTONIO GRAMSCI 41</x:t>
        </x:is>
      </x:c>
      <x:c r="S5" s="2" t="inlineStr">
        <x:is>
          <x:t xml:space="preserve">ARZANO</x:t>
        </x:is>
      </x:c>
      <x:c r="T5" s="2" t="inlineStr">
        <x:is>
          <x:t xml:space="preserve">FOR_IT</x:t>
        </x:is>
      </x:c>
      <x:c r="U5" s="6" t="n">
        <x:v>0</x:v>
      </x:c>
      <x:c r="V5" s="2" t="inlineStr">
        <x:is>
          <x:t xml:space="preserve">08624381219</x:t>
        </x:is>
      </x:c>
      <x:c r="W5" s="2" t="inlineStr">
        <x:is>
          <x:t xml:space="preserve">MSCGNR64C24F839L</x:t>
        </x:is>
      </x:c>
      <x:c r="X5" s="2" t="inlineStr">
        <x:is>
          <x:t xml:space="preserve">TD04</x:t>
        </x:is>
      </x:c>
    </x:row>
    <x:row r="6">
      <x:c r="A6" s="2" t="inlineStr">
        <x:is>
          <x:t xml:space="preserve">FAI25-00206</x:t>
        </x:is>
      </x:c>
      <x:c r="B6" s="2" t="inlineStr">
        <x:is>
          <x:t xml:space="preserve">F00049</x:t>
        </x:is>
      </x:c>
      <x:c r="C6" s="2" t="inlineStr">
        <x:is>
          <x:t xml:space="preserve">Innero Emilia</x:t>
        </x:is>
      </x:c>
      <x:c r="D6" s="2" t="inlineStr">
        <x:is>
          <x:t xml:space="preserve"/>
        </x:is>
      </x:c>
      <x:c r="E6" s="3" t="n">
        <x:v/>
      </x:c>
      <x:c r="F6" s="4" t="n">
        <x:v>3642.56</x:v>
      </x:c>
      <x:c r="G6" s="4" t="n">
        <x:v>3642.56</x:v>
      </x:c>
      <x:c r="H6" s="4" t="n">
        <x:v>0</x:v>
      </x:c>
      <x:c r="I6" s="5" t="n">
        <x:f>TRUE()</x:f>
        <x:v>1</x:v>
      </x:c>
      <x:c r="J6" s="5" t="n">
        <x:f>FALSE()</x:f>
        <x:v>0</x:v>
      </x:c>
      <x:c r="K6" s="5" t="n">
        <x:f>FALSE()</x:f>
        <x:v>0</x:v>
      </x:c>
      <x:c r="L6" s="2" t="inlineStr">
        <x:is>
          <x:t xml:space="preserve">65126</x:t>
        </x:is>
      </x:c>
      <x:c r="M6" s="2" t="inlineStr">
        <x:is>
          <x:t xml:space="preserve">IT</x:t>
        </x:is>
      </x:c>
      <x:c r="N6" s="3" t="n">
        <x:v>45918</x:v>
      </x:c>
      <x:c r="O6" s="2" t="inlineStr">
        <x:is>
          <x:t xml:space="preserve"/>
        </x:is>
      </x:c>
      <x:c r="P6" s="5" t="n">
        <x:v>0</x:v>
      </x:c>
      <x:c r="Q6" s="3" t="n">
        <x:v>45918</x:v>
      </x:c>
      <x:c r="R6" s="2" t="inlineStr">
        <x:is>
          <x:t xml:space="preserve">via Guelfi 60</x:t>
        </x:is>
      </x:c>
      <x:c r="S6" s="2" t="inlineStr">
        <x:is>
          <x:t xml:space="preserve">Pescara</x:t>
        </x:is>
      </x:c>
      <x:c r="T6" s="2" t="inlineStr">
        <x:is>
          <x:t xml:space="preserve">FOR_IT</x:t>
        </x:is>
      </x:c>
      <x:c r="U6" s="6" t="n">
        <x:v>0</x:v>
      </x:c>
      <x:c r="V6" s="2" t="inlineStr">
        <x:is>
          <x:t xml:space="preserve">02333660682</x:t>
        </x:is>
      </x:c>
      <x:c r="W6" s="2" t="inlineStr">
        <x:is>
          <x:t xml:space="preserve">NNRMLE82R70G482W</x:t>
        </x:is>
      </x:c>
      <x:c r="X6" s="2" t="inlineStr">
        <x:is>
          <x:t xml:space="preserve">TD04</x:t>
        </x:is>
      </x:c>
    </x:row>
    <x:row r="7">
      <x:c r="A7" s="2" t="inlineStr">
        <x:is>
          <x:t xml:space="preserve">FAI25-00197</x:t>
        </x:is>
      </x:c>
      <x:c r="B7" s="2" t="inlineStr">
        <x:is>
          <x:t xml:space="preserve">F00006</x:t>
        </x:is>
      </x:c>
      <x:c r="C7" s="2" t="inlineStr">
        <x:is>
          <x:t xml:space="preserve">Muscetti Gennaro</x:t>
        </x:is>
      </x:c>
      <x:c r="D7" s="2" t="inlineStr">
        <x:is>
          <x:t xml:space="preserve"/>
        </x:is>
      </x:c>
      <x:c r="E7" s="3" t="n">
        <x:v/>
      </x:c>
      <x:c r="F7" s="4" t="n">
        <x:v>2706</x:v>
      </x:c>
      <x:c r="G7" s="4" t="n">
        <x:v>2706</x:v>
      </x:c>
      <x:c r="H7" s="4" t="n">
        <x:v>0</x:v>
      </x:c>
      <x:c r="I7" s="5" t="n">
        <x:f>TRUE()</x:f>
        <x:v>1</x:v>
      </x:c>
      <x:c r="J7" s="5" t="n">
        <x:f>FALSE()</x:f>
        <x:v>0</x:v>
      </x:c>
      <x:c r="K7" s="5" t="n">
        <x:f>FALSE()</x:f>
        <x:v>0</x:v>
      </x:c>
      <x:c r="L7" s="2" t="inlineStr">
        <x:is>
          <x:t xml:space="preserve">80022</x:t>
        </x:is>
      </x:c>
      <x:c r="M7" s="2" t="inlineStr">
        <x:is>
          <x:t xml:space="preserve">IT</x:t>
        </x:is>
      </x:c>
      <x:c r="N7" s="3" t="n">
        <x:v>45915</x:v>
      </x:c>
      <x:c r="O7" s="2" t="inlineStr">
        <x:is>
          <x:t xml:space="preserve"/>
        </x:is>
      </x:c>
      <x:c r="P7" s="5" t="n">
        <x:v>0</x:v>
      </x:c>
      <x:c r="Q7" s="3" t="n">
        <x:v>45913</x:v>
      </x:c>
      <x:c r="R7" s="2" t="inlineStr">
        <x:is>
          <x:t xml:space="preserve">VIA ANTONIO GRAMSCI 41</x:t>
        </x:is>
      </x:c>
      <x:c r="S7" s="2" t="inlineStr">
        <x:is>
          <x:t xml:space="preserve">ARZANO</x:t>
        </x:is>
      </x:c>
      <x:c r="T7" s="2" t="inlineStr">
        <x:is>
          <x:t xml:space="preserve">FOR_IT</x:t>
        </x:is>
      </x:c>
      <x:c r="U7" s="6" t="n">
        <x:v>0</x:v>
      </x:c>
      <x:c r="V7" s="2" t="inlineStr">
        <x:is>
          <x:t xml:space="preserve">08624381219</x:t>
        </x:is>
      </x:c>
      <x:c r="W7" s="2" t="inlineStr">
        <x:is>
          <x:t xml:space="preserve">MSCGNR64C24F839L</x:t>
        </x:is>
      </x:c>
      <x:c r="X7" s="2" t="inlineStr">
        <x:is>
          <x:t xml:space="preserve">TD04</x:t>
        </x:is>
      </x:c>
    </x:row>
    <x:row r="8">
      <x:c r="A8" s="2" t="inlineStr">
        <x:is>
          <x:t xml:space="preserve">FAI25-00188</x:t>
        </x:is>
      </x:c>
      <x:c r="B8" s="2" t="inlineStr">
        <x:is>
          <x:t xml:space="preserve">F00006</x:t>
        </x:is>
      </x:c>
      <x:c r="C8" s="2" t="inlineStr">
        <x:is>
          <x:t xml:space="preserve">Muscetti Gennaro</x:t>
        </x:is>
      </x:c>
      <x:c r="D8" s="2" t="inlineStr">
        <x:is>
          <x:t xml:space="preserve"/>
        </x:is>
      </x:c>
      <x:c r="E8" s="3" t="n">
        <x:v/>
      </x:c>
      <x:c r="F8" s="4" t="n">
        <x:v>2737.2</x:v>
      </x:c>
      <x:c r="G8" s="4" t="n">
        <x:v>2737.2</x:v>
      </x:c>
      <x:c r="H8" s="4" t="n">
        <x:v>0</x:v>
      </x:c>
      <x:c r="I8" s="5" t="n">
        <x:f>TRUE()</x:f>
        <x:v>1</x:v>
      </x:c>
      <x:c r="J8" s="5" t="n">
        <x:f>FALSE()</x:f>
        <x:v>0</x:v>
      </x:c>
      <x:c r="K8" s="5" t="n">
        <x:f>FALSE()</x:f>
        <x:v>0</x:v>
      </x:c>
      <x:c r="L8" s="2" t="inlineStr">
        <x:is>
          <x:t xml:space="preserve">80022</x:t>
        </x:is>
      </x:c>
      <x:c r="M8" s="2" t="inlineStr">
        <x:is>
          <x:t xml:space="preserve">IT</x:t>
        </x:is>
      </x:c>
      <x:c r="N8" s="3" t="n">
        <x:v>45886</x:v>
      </x:c>
      <x:c r="O8" s="2" t="inlineStr">
        <x:is>
          <x:t xml:space="preserve"/>
        </x:is>
      </x:c>
      <x:c r="P8" s="5" t="n">
        <x:v>0</x:v>
      </x:c>
      <x:c r="Q8" s="3" t="n">
        <x:v>45882</x:v>
      </x:c>
      <x:c r="R8" s="2" t="inlineStr">
        <x:is>
          <x:t xml:space="preserve">VIA ANTONIO GRAMSCI 41</x:t>
        </x:is>
      </x:c>
      <x:c r="S8" s="2" t="inlineStr">
        <x:is>
          <x:t xml:space="preserve">ARZANO</x:t>
        </x:is>
      </x:c>
      <x:c r="T8" s="2" t="inlineStr">
        <x:is>
          <x:t xml:space="preserve">FOR_IT</x:t>
        </x:is>
      </x:c>
      <x:c r="U8" s="6" t="n">
        <x:v>0</x:v>
      </x:c>
      <x:c r="V8" s="2" t="inlineStr">
        <x:is>
          <x:t xml:space="preserve">08624381219</x:t>
        </x:is>
      </x:c>
      <x:c r="W8" s="2" t="inlineStr">
        <x:is>
          <x:t xml:space="preserve">MSCGNR64C24F839L</x:t>
        </x:is>
      </x:c>
      <x:c r="X8" s="2" t="inlineStr">
        <x:is>
          <x:t xml:space="preserve">TD04</x:t>
        </x:is>
      </x:c>
    </x:row>
    <x:row r="9">
      <x:c r="A9" s="2" t="inlineStr">
        <x:is>
          <x:t xml:space="preserve">FAI25-00186</x:t>
        </x:is>
      </x:c>
      <x:c r="B9" s="2" t="inlineStr">
        <x:is>
          <x:t xml:space="preserve">F00087</x:t>
        </x:is>
      </x:c>
      <x:c r="C9" s="2" t="inlineStr">
        <x:is>
          <x:t xml:space="preserve">Luigi Maiello</x:t>
        </x:is>
      </x:c>
      <x:c r="D9" s="2" t="inlineStr">
        <x:is>
          <x:t xml:space="preserve"/>
        </x:is>
      </x:c>
      <x:c r="E9" s="3" t="n">
        <x:v/>
      </x:c>
      <x:c r="F9" s="4" t="n">
        <x:v>2000</x:v>
      </x:c>
      <x:c r="G9" s="4" t="n">
        <x:v>2000</x:v>
      </x:c>
      <x:c r="H9" s="4" t="n">
        <x:v>-2000</x:v>
      </x:c>
      <x:c r="I9" s="5" t="n">
        <x:f>FALSE()</x:f>
        <x:v>0</x:v>
      </x:c>
      <x:c r="J9" s="5" t="n">
        <x:f>FALSE()</x:f>
        <x:v>0</x:v>
      </x:c>
      <x:c r="K9" s="5" t="n">
        <x:f>FALSE()</x:f>
        <x:v>0</x:v>
      </x:c>
      <x:c r="L9" s="2" t="inlineStr">
        <x:is>
          <x:t xml:space="preserve">80129</x:t>
        </x:is>
      </x:c>
      <x:c r="M9" s="2" t="inlineStr">
        <x:is>
          <x:t xml:space="preserve">IT</x:t>
        </x:is>
      </x:c>
      <x:c r="N9" s="3" t="n">
        <x:v>45882</x:v>
      </x:c>
      <x:c r="O9" s="2" t="inlineStr">
        <x:is>
          <x:t xml:space="preserve"/>
        </x:is>
      </x:c>
      <x:c r="P9" s="5" t="n">
        <x:v>0</x:v>
      </x:c>
      <x:c r="Q9" s="3" t="n">
        <x:v>45880</x:v>
      </x:c>
      <x:c r="R9" s="2" t="inlineStr">
        <x:is>
          <x:t xml:space="preserve">via Raffaele Libroia 8</x:t>
        </x:is>
      </x:c>
      <x:c r="S9" s="2" t="inlineStr">
        <x:is>
          <x:t xml:space="preserve">Napoli</x:t>
        </x:is>
      </x:c>
      <x:c r="T9" s="2" t="inlineStr">
        <x:is>
          <x:t xml:space="preserve">FOR_IT</x:t>
        </x:is>
      </x:c>
      <x:c r="U9" s="6" t="n">
        <x:v>0</x:v>
      </x:c>
      <x:c r="V9" s="2" t="inlineStr">
        <x:is>
          <x:t xml:space="preserve">03490730615</x:t>
        </x:is>
      </x:c>
      <x:c r="W9" s="2" t="inlineStr">
        <x:is>
          <x:t xml:space="preserve">MLLLGU71R30B916R</x:t>
        </x:is>
      </x:c>
      <x:c r="X9" s="2" t="inlineStr">
        <x:is>
          <x:t xml:space="preserve">TD04</x:t>
        </x:is>
      </x:c>
    </x:row>
    <x:row r="10">
      <x:c r="A10" s="2" t="inlineStr">
        <x:is>
          <x:t xml:space="preserve">FAI25-00145</x:t>
        </x:is>
      </x:c>
      <x:c r="B10" s="2" t="inlineStr">
        <x:is>
          <x:t xml:space="preserve">F00075</x:t>
        </x:is>
      </x:c>
      <x:c r="C10" s="2" t="inlineStr">
        <x:is>
          <x:t xml:space="preserve">Policastro Antonio</x:t>
        </x:is>
      </x:c>
      <x:c r="D10" s="2" t="inlineStr">
        <x:is>
          <x:t xml:space="preserve"/>
        </x:is>
      </x:c>
      <x:c r="E10" s="3" t="n">
        <x:v/>
      </x:c>
      <x:c r="F10" s="4" t="n">
        <x:v>6273</x:v>
      </x:c>
      <x:c r="G10" s="4" t="n">
        <x:v>6273</x:v>
      </x:c>
      <x:c r="H10" s="4" t="n">
        <x:v>-6273</x:v>
      </x:c>
      <x:c r="I10" s="5" t="n">
        <x:f>FALSE()</x:f>
        <x:v>0</x:v>
      </x:c>
      <x:c r="J10" s="5" t="n">
        <x:f>FALSE()</x:f>
        <x:v>0</x:v>
      </x:c>
      <x:c r="K10" s="5" t="n">
        <x:f>FALSE()</x:f>
        <x:v>0</x:v>
      </x:c>
      <x:c r="L10" s="2" t="inlineStr">
        <x:is>
          <x:t xml:space="preserve">76123</x:t>
        </x:is>
      </x:c>
      <x:c r="M10" s="2" t="inlineStr">
        <x:is>
          <x:t xml:space="preserve">IT</x:t>
        </x:is>
      </x:c>
      <x:c r="N10" s="3" t="n">
        <x:v>45840</x:v>
      </x:c>
      <x:c r="O10" s="2" t="inlineStr">
        <x:is>
          <x:t xml:space="preserve"/>
        </x:is>
      </x:c>
      <x:c r="P10" s="5" t="n">
        <x:v>0</x:v>
      </x:c>
      <x:c r="Q10" s="3" t="n">
        <x:v>45834</x:v>
      </x:c>
      <x:c r="R10" s="2" t="inlineStr">
        <x:is>
          <x:t xml:space="preserve">Via Parigi, 107</x:t>
        </x:is>
      </x:c>
      <x:c r="S10" s="2" t="inlineStr">
        <x:is>
          <x:t xml:space="preserve">ANDRIA</x:t>
        </x:is>
      </x:c>
      <x:c r="T10" s="2" t="inlineStr">
        <x:is>
          <x:t xml:space="preserve">FOR_IT</x:t>
        </x:is>
      </x:c>
      <x:c r="U10" s="6" t="n">
        <x:v>0</x:v>
      </x:c>
      <x:c r="V10" s="2" t="inlineStr">
        <x:is>
          <x:t xml:space="preserve">08765860724</x:t>
        </x:is>
      </x:c>
      <x:c r="W10" s="2" t="inlineStr">
        <x:is>
          <x:t xml:space="preserve">PLCNTN69P02A285N</x:t>
        </x:is>
      </x:c>
      <x:c r="X10" s="2" t="inlineStr">
        <x:is>
          <x:t xml:space="preserve">TD04</x:t>
        </x:is>
      </x:c>
    </x:row>
    <x:row r="11">
      <x:c r="A11" s="2" t="inlineStr">
        <x:is>
          <x:t xml:space="preserve">FAI25-00130</x:t>
        </x:is>
      </x:c>
      <x:c r="B11" s="2" t="inlineStr">
        <x:is>
          <x:t xml:space="preserve">F00075</x:t>
        </x:is>
      </x:c>
      <x:c r="C11" s="2" t="inlineStr">
        <x:is>
          <x:t xml:space="preserve">Policastro Antonio</x:t>
        </x:is>
      </x:c>
      <x:c r="D11" s="2" t="inlineStr">
        <x:is>
          <x:t xml:space="preserve"/>
        </x:is>
      </x:c>
      <x:c r="E11" s="3" t="n">
        <x:v/>
      </x:c>
      <x:c r="F11" s="4" t="n">
        <x:v>8898.78</x:v>
      </x:c>
      <x:c r="G11" s="4" t="n">
        <x:v>8898.78</x:v>
      </x:c>
      <x:c r="H11" s="4" t="n">
        <x:v>-8898.78</x:v>
      </x:c>
      <x:c r="I11" s="5" t="n">
        <x:f>FALSE()</x:f>
        <x:v>0</x:v>
      </x:c>
      <x:c r="J11" s="5" t="n">
        <x:f>FALSE()</x:f>
        <x:v>0</x:v>
      </x:c>
      <x:c r="K11" s="5" t="n">
        <x:f>FALSE()</x:f>
        <x:v>0</x:v>
      </x:c>
      <x:c r="L11" s="2" t="inlineStr">
        <x:is>
          <x:t xml:space="preserve">76123</x:t>
        </x:is>
      </x:c>
      <x:c r="M11" s="2" t="inlineStr">
        <x:is>
          <x:t xml:space="preserve">IT</x:t>
        </x:is>
      </x:c>
      <x:c r="N11" s="3" t="n">
        <x:v>45826</x:v>
      </x:c>
      <x:c r="O11" s="2" t="inlineStr">
        <x:is>
          <x:t xml:space="preserve"/>
        </x:is>
      </x:c>
      <x:c r="P11" s="5" t="n">
        <x:v>0</x:v>
      </x:c>
      <x:c r="Q11" s="3" t="n">
        <x:v>45817</x:v>
      </x:c>
      <x:c r="R11" s="2" t="inlineStr">
        <x:is>
          <x:t xml:space="preserve">Via Parigi, 107</x:t>
        </x:is>
      </x:c>
      <x:c r="S11" s="2" t="inlineStr">
        <x:is>
          <x:t xml:space="preserve">ANDRIA</x:t>
        </x:is>
      </x:c>
      <x:c r="T11" s="2" t="inlineStr">
        <x:is>
          <x:t xml:space="preserve">FOR_IT</x:t>
        </x:is>
      </x:c>
      <x:c r="U11" s="6" t="n">
        <x:v>0</x:v>
      </x:c>
      <x:c r="V11" s="2" t="inlineStr">
        <x:is>
          <x:t xml:space="preserve">08765860724</x:t>
        </x:is>
      </x:c>
      <x:c r="W11" s="2" t="inlineStr">
        <x:is>
          <x:t xml:space="preserve">PLCNTN69P02A285N</x:t>
        </x:is>
      </x:c>
      <x:c r="X11" s="2" t="inlineStr">
        <x:is>
          <x:t xml:space="preserve">TD04</x:t>
        </x:is>
      </x:c>
    </x:row>
    <x:row r="12">
      <x:c r="A12" s="2" t="inlineStr">
        <x:is>
          <x:t xml:space="preserve">FAI25-00121</x:t>
        </x:is>
      </x:c>
      <x:c r="B12" s="2" t="inlineStr">
        <x:is>
          <x:t xml:space="preserve">F00098</x:t>
        </x:is>
      </x:c>
      <x:c r="C12" s="2" t="inlineStr">
        <x:is>
          <x:t xml:space="preserve">VN Mediazione Creditizia s.r.l. soc. unipersonale</x:t>
        </x:is>
      </x:c>
      <x:c r="D12" s="2" t="inlineStr">
        <x:is>
          <x:t xml:space="preserve"/>
        </x:is>
      </x:c>
      <x:c r="E12" s="3" t="n">
        <x:v/>
      </x:c>
      <x:c r="F12" s="4" t="n">
        <x:v>1575</x:v>
      </x:c>
      <x:c r="G12" s="4" t="n">
        <x:v>1575</x:v>
      </x:c>
      <x:c r="H12" s="4" t="n">
        <x:v>0</x:v>
      </x:c>
      <x:c r="I12" s="5" t="n">
        <x:f>TRUE()</x:f>
        <x:v>1</x:v>
      </x:c>
      <x:c r="J12" s="5" t="n">
        <x:f>FALSE()</x:f>
        <x:v>0</x:v>
      </x:c>
      <x:c r="K12" s="5" t="n">
        <x:f>FALSE()</x:f>
        <x:v>0</x:v>
      </x:c>
      <x:c r="L12" s="2" t="inlineStr">
        <x:is>
          <x:t xml:space="preserve">37100</x:t>
        </x:is>
      </x:c>
      <x:c r="M12" s="2" t="inlineStr">
        <x:is>
          <x:t xml:space="preserve">IT</x:t>
        </x:is>
      </x:c>
      <x:c r="N12" s="3" t="n">
        <x:v>45805</x:v>
      </x:c>
      <x:c r="O12" s="2" t="inlineStr">
        <x:is>
          <x:t xml:space="preserve"/>
        </x:is>
      </x:c>
      <x:c r="P12" s="5" t="n">
        <x:v>0</x:v>
      </x:c>
      <x:c r="Q12" s="3" t="n">
        <x:v>45800</x:v>
      </x:c>
      <x:c r="R12" s="2" t="inlineStr">
        <x:is>
          <x:t xml:space="preserve">Via Evangelista Torricelli, 37</x:t>
        </x:is>
      </x:c>
      <x:c r="S12" s="2" t="inlineStr">
        <x:is>
          <x:t xml:space="preserve">VERONA</x:t>
        </x:is>
      </x:c>
      <x:c r="T12" s="2" t="inlineStr">
        <x:is>
          <x:t xml:space="preserve">FOR_IT</x:t>
        </x:is>
      </x:c>
      <x:c r="U12" s="6" t="n">
        <x:v>0</x:v>
      </x:c>
      <x:c r="V12" s="2" t="inlineStr">
        <x:is>
          <x:t xml:space="preserve">04473330233</x:t>
        </x:is>
      </x:c>
      <x:c r="W12" s="2" t="inlineStr">
        <x:is>
          <x:t xml:space="preserve">04473330233</x:t>
        </x:is>
      </x:c>
      <x:c r="X12" s="2" t="inlineStr">
        <x:is>
          <x:t xml:space="preserve">TD04</x:t>
        </x:is>
      </x:c>
    </x:row>
    <x:row r="13">
      <x:c r="A13" s="2" t="inlineStr">
        <x:is>
          <x:t xml:space="preserve">FAI25-00116</x:t>
        </x:is>
      </x:c>
      <x:c r="B13" s="2" t="inlineStr">
        <x:is>
          <x:t xml:space="preserve">F00141</x:t>
        </x:is>
      </x:c>
      <x:c r="C13" s="2" t="inlineStr">
        <x:is>
          <x:t xml:space="preserve">Gianluca Guida</x:t>
        </x:is>
      </x:c>
      <x:c r="D13" s="2" t="inlineStr">
        <x:is>
          <x:t xml:space="preserve"/>
        </x:is>
      </x:c>
      <x:c r="E13" s="3" t="n">
        <x:v/>
      </x:c>
      <x:c r="F13" s="4" t="n">
        <x:v>2500</x:v>
      </x:c>
      <x:c r="G13" s="4" t="n">
        <x:v>2500</x:v>
      </x:c>
      <x:c r="H13" s="4" t="n">
        <x:v>-2500</x:v>
      </x:c>
      <x:c r="I13" s="5" t="n">
        <x:f>FALSE()</x:f>
        <x:v>0</x:v>
      </x:c>
      <x:c r="J13" s="5" t="n">
        <x:f>FALSE()</x:f>
        <x:v>0</x:v>
      </x:c>
      <x:c r="K13" s="5" t="n">
        <x:f>FALSE()</x:f>
        <x:v>0</x:v>
      </x:c>
      <x:c r="L13" s="2" t="inlineStr">
        <x:is>
          <x:t xml:space="preserve">80127</x:t>
        </x:is>
      </x:c>
      <x:c r="M13" s="2" t="inlineStr">
        <x:is>
          <x:t xml:space="preserve">IT</x:t>
        </x:is>
      </x:c>
      <x:c r="N13" s="3" t="n">
        <x:v>45799</x:v>
      </x:c>
      <x:c r="O13" s="2" t="inlineStr">
        <x:is>
          <x:t xml:space="preserve"/>
        </x:is>
      </x:c>
      <x:c r="P13" s="5" t="n">
        <x:v>0</x:v>
      </x:c>
      <x:c r="Q13" s="3" t="n">
        <x:v>45798</x:v>
      </x:c>
      <x:c r="R13" s="2" t="inlineStr">
        <x:is>
          <x:t xml:space="preserve">Via Francesco Cilea, 145</x:t>
        </x:is>
      </x:c>
      <x:c r="S13" s="2" t="inlineStr">
        <x:is>
          <x:t xml:space="preserve">Napoli</x:t>
        </x:is>
      </x:c>
      <x:c r="T13" s="2" t="inlineStr">
        <x:is>
          <x:t xml:space="preserve">FOR_IT</x:t>
        </x:is>
      </x:c>
      <x:c r="U13" s="6" t="n">
        <x:v>0</x:v>
      </x:c>
      <x:c r="V13" s="2" t="inlineStr">
        <x:is>
          <x:t xml:space="preserve">08931221215</x:t>
        </x:is>
      </x:c>
      <x:c r="W13" s="2" t="inlineStr">
        <x:is>
          <x:t xml:space="preserve">GDUGLC72D07F839H</x:t>
        </x:is>
      </x:c>
      <x:c r="X13" s="2" t="inlineStr">
        <x:is>
          <x:t xml:space="preserve">TD04</x:t>
        </x:is>
      </x:c>
    </x:row>
    <x:row r="14">
      <x:c r="A14" s="2" t="inlineStr">
        <x:is>
          <x:t xml:space="preserve">FAI25-00095</x:t>
        </x:is>
      </x:c>
      <x:c r="B14" s="2" t="inlineStr">
        <x:is>
          <x:t xml:space="preserve">F00103</x:t>
        </x:is>
      </x:c>
      <x:c r="C14" s="2" t="inlineStr">
        <x:is>
          <x:t xml:space="preserve">Gallicchio Emanuele</x:t>
        </x:is>
      </x:c>
      <x:c r="D14" s="2" t="inlineStr">
        <x:is>
          <x:t xml:space="preserve"/>
        </x:is>
      </x:c>
      <x:c r="E14" s="3" t="n">
        <x:v/>
      </x:c>
      <x:c r="F14" s="4" t="n">
        <x:v>120</x:v>
      </x:c>
      <x:c r="G14" s="4" t="n">
        <x:v>120</x:v>
      </x:c>
      <x:c r="H14" s="4" t="n">
        <x:v>-120</x:v>
      </x:c>
      <x:c r="I14" s="5" t="n">
        <x:f>FALSE()</x:f>
        <x:v>0</x:v>
      </x:c>
      <x:c r="J14" s="5" t="n">
        <x:f>FALSE()</x:f>
        <x:v>0</x:v>
      </x:c>
      <x:c r="K14" s="5" t="n">
        <x:f>FALSE()</x:f>
        <x:v>0</x:v>
      </x:c>
      <x:c r="L14" s="2" t="inlineStr">
        <x:is>
          <x:t xml:space="preserve">75020</x:t>
        </x:is>
      </x:c>
      <x:c r="M14" s="2" t="inlineStr">
        <x:is>
          <x:t xml:space="preserve">IT</x:t>
        </x:is>
      </x:c>
      <x:c r="N14" s="3" t="n">
        <x:v>45782</x:v>
      </x:c>
      <x:c r="O14" s="2" t="inlineStr">
        <x:is>
          <x:t xml:space="preserve"/>
        </x:is>
      </x:c>
      <x:c r="P14" s="5" t="n">
        <x:v>0</x:v>
      </x:c>
      <x:c r="Q14" s="3" t="n">
        <x:v>45771</x:v>
      </x:c>
      <x:c r="R14" s="2" t="inlineStr">
        <x:is>
          <x:t xml:space="preserve">Via Giustino Fortunato 15</x:t>
        </x:is>
      </x:c>
      <x:c r="S14" s="2" t="inlineStr">
        <x:is>
          <x:t xml:space="preserve">Scanzano Jonico</x:t>
        </x:is>
      </x:c>
      <x:c r="T14" s="2" t="inlineStr">
        <x:is>
          <x:t xml:space="preserve">FOR_IT</x:t>
        </x:is>
      </x:c>
      <x:c r="U14" s="6" t="n">
        <x:v>0</x:v>
      </x:c>
      <x:c r="V14" s="2" t="inlineStr">
        <x:is>
          <x:t xml:space="preserve">01423260775</x:t>
        </x:is>
      </x:c>
      <x:c r="W14" s="2" t="inlineStr">
        <x:is>
          <x:t xml:space="preserve">GLLMNL80E07G786I</x:t>
        </x:is>
      </x:c>
      <x:c r="X14" s="2" t="inlineStr">
        <x:is>
          <x:t xml:space="preserve">TD04</x:t>
        </x:is>
      </x:c>
    </x:row>
    <x:row r="15">
      <x:c r="A15" s="2" t="inlineStr">
        <x:is>
          <x:t xml:space="preserve">FAI25-00077</x:t>
        </x:is>
      </x:c>
      <x:c r="B15" s="2" t="inlineStr">
        <x:is>
          <x:t xml:space="preserve">F00049</x:t>
        </x:is>
      </x:c>
      <x:c r="C15" s="2" t="inlineStr">
        <x:is>
          <x:t xml:space="preserve">Innero Emilia</x:t>
        </x:is>
      </x:c>
      <x:c r="D15" s="2" t="inlineStr">
        <x:is>
          <x:t xml:space="preserve"/>
        </x:is>
      </x:c>
      <x:c r="E15" s="3" t="n">
        <x:v/>
      </x:c>
      <x:c r="F15" s="4" t="n">
        <x:v>7041.56</x:v>
      </x:c>
      <x:c r="G15" s="4" t="n">
        <x:v>7041.56</x:v>
      </x:c>
      <x:c r="H15" s="4" t="n">
        <x:v>-7041.56</x:v>
      </x:c>
      <x:c r="I15" s="5" t="n">
        <x:f>FALSE()</x:f>
        <x:v>0</x:v>
      </x:c>
      <x:c r="J15" s="5" t="n">
        <x:f>FALSE()</x:f>
        <x:v>0</x:v>
      </x:c>
      <x:c r="K15" s="5" t="n">
        <x:f>FALSE()</x:f>
        <x:v>0</x:v>
      </x:c>
      <x:c r="L15" s="2" t="inlineStr">
        <x:is>
          <x:t xml:space="preserve">65126</x:t>
        </x:is>
      </x:c>
      <x:c r="M15" s="2" t="inlineStr">
        <x:is>
          <x:t xml:space="preserve">IT</x:t>
        </x:is>
      </x:c>
      <x:c r="N15" s="3" t="n">
        <x:v>45742</x:v>
      </x:c>
      <x:c r="O15" s="2" t="inlineStr">
        <x:is>
          <x:t xml:space="preserve"/>
        </x:is>
      </x:c>
      <x:c r="P15" s="5" t="n">
        <x:v>0</x:v>
      </x:c>
      <x:c r="Q15" s="3" t="n">
        <x:v>45737</x:v>
      </x:c>
      <x:c r="R15" s="2" t="inlineStr">
        <x:is>
          <x:t xml:space="preserve">via Guelfi 60</x:t>
        </x:is>
      </x:c>
      <x:c r="S15" s="2" t="inlineStr">
        <x:is>
          <x:t xml:space="preserve">Pescara</x:t>
        </x:is>
      </x:c>
      <x:c r="T15" s="2" t="inlineStr">
        <x:is>
          <x:t xml:space="preserve">FOR_IT</x:t>
        </x:is>
      </x:c>
      <x:c r="U15" s="6" t="n">
        <x:v>0</x:v>
      </x:c>
      <x:c r="V15" s="2" t="inlineStr">
        <x:is>
          <x:t xml:space="preserve">02333660682</x:t>
        </x:is>
      </x:c>
      <x:c r="W15" s="2" t="inlineStr">
        <x:is>
          <x:t xml:space="preserve">NNRMLE82R70G482W</x:t>
        </x:is>
      </x:c>
      <x:c r="X15" s="2" t="inlineStr">
        <x:is>
          <x:t xml:space="preserve">TD04</x:t>
        </x:is>
      </x:c>
    </x:row>
    <x:row r="16">
      <x:c r="A16" s="2" t="inlineStr">
        <x:is>
          <x:t xml:space="preserve">FAI25-00072</x:t>
        </x:is>
      </x:c>
      <x:c r="B16" s="2" t="inlineStr">
        <x:is>
          <x:t xml:space="preserve">F00131</x:t>
        </x:is>
      </x:c>
      <x:c r="C16" s="2" t="inlineStr">
        <x:is>
          <x:t xml:space="preserve">ALESSIO COPPOLA S R L S</x:t>
        </x:is>
      </x:c>
      <x:c r="D16" s="2" t="inlineStr">
        <x:is>
          <x:t xml:space="preserve"/>
        </x:is>
      </x:c>
      <x:c r="E16" s="3" t="n">
        <x:v/>
      </x:c>
      <x:c r="F16" s="4" t="n">
        <x:v>785</x:v>
      </x:c>
      <x:c r="G16" s="4" t="n">
        <x:v>950</x:v>
      </x:c>
      <x:c r="H16" s="4" t="n">
        <x:v>0</x:v>
      </x:c>
      <x:c r="I16" s="5" t="n">
        <x:f>TRUE()</x:f>
        <x:v>1</x:v>
      </x:c>
      <x:c r="J16" s="5" t="n">
        <x:f>FALSE()</x:f>
        <x:v>0</x:v>
      </x:c>
      <x:c r="K16" s="5" t="n">
        <x:f>FALSE()</x:f>
        <x:v>0</x:v>
      </x:c>
      <x:c r="L16" s="2" t="inlineStr">
        <x:is>
          <x:t xml:space="preserve">80142</x:t>
        </x:is>
      </x:c>
      <x:c r="M16" s="2" t="inlineStr">
        <x:is>
          <x:t xml:space="preserve">IT</x:t>
        </x:is>
      </x:c>
      <x:c r="N16" s="3" t="n">
        <x:v>45740</x:v>
      </x:c>
      <x:c r="O16" s="2" t="inlineStr">
        <x:is>
          <x:t xml:space="preserve"/>
        </x:is>
      </x:c>
      <x:c r="P16" s="5" t="n">
        <x:v>0</x:v>
      </x:c>
      <x:c r="Q16" s="3" t="n">
        <x:v>45736</x:v>
      </x:c>
      <x:c r="R16" s="2" t="inlineStr">
        <x:is>
          <x:t xml:space="preserve">CORSO GARIBALDI  32</x:t>
        </x:is>
      </x:c>
      <x:c r="S16" s="2" t="inlineStr">
        <x:is>
          <x:t xml:space="preserve">NAPOLI</x:t>
        </x:is>
      </x:c>
      <x:c r="T16" s="2" t="inlineStr">
        <x:is>
          <x:t xml:space="preserve">FOR_IT</x:t>
        </x:is>
      </x:c>
      <x:c r="U16" s="6" t="n">
        <x:v>0</x:v>
      </x:c>
      <x:c r="V16" s="2" t="inlineStr">
        <x:is>
          <x:t xml:space="preserve">10500811210</x:t>
        </x:is>
      </x:c>
      <x:c r="W16" s="2" t="inlineStr">
        <x:is>
          <x:t xml:space="preserve"/>
        </x:is>
      </x:c>
      <x:c r="X16" s="2" t="inlineStr">
        <x:is>
          <x:t xml:space="preserve">TD04</x:t>
        </x:is>
      </x:c>
    </x:row>
    <x:row r="17">
      <x:c r="A17" s="2" t="inlineStr">
        <x:is>
          <x:t xml:space="preserve">FAI25-00055</x:t>
        </x:is>
      </x:c>
      <x:c r="B17" s="2" t="inlineStr">
        <x:is>
          <x:t xml:space="preserve">F00108</x:t>
        </x:is>
      </x:c>
      <x:c r="C17" s="2" t="inlineStr">
        <x:is>
          <x:t xml:space="preserve">PAOLINI SILVIA</x:t>
        </x:is>
      </x:c>
      <x:c r="D17" s="2" t="inlineStr">
        <x:is>
          <x:t xml:space="preserve"/>
        </x:is>
      </x:c>
      <x:c r="E17" s="3" t="n">
        <x:v/>
      </x:c>
      <x:c r="F17" s="4" t="n">
        <x:v>112.57</x:v>
      </x:c>
      <x:c r="G17" s="4" t="n">
        <x:v>112.57</x:v>
      </x:c>
      <x:c r="H17" s="4" t="n">
        <x:v>0</x:v>
      </x:c>
      <x:c r="I17" s="5" t="n">
        <x:f>TRUE()</x:f>
        <x:v>1</x:v>
      </x:c>
      <x:c r="J17" s="5" t="n">
        <x:f>FALSE()</x:f>
        <x:v>0</x:v>
      </x:c>
      <x:c r="K17" s="5" t="n">
        <x:f>FALSE()</x:f>
        <x:v>0</x:v>
      </x:c>
      <x:c r="L17" s="2" t="inlineStr">
        <x:is>
          <x:t xml:space="preserve">62012</x:t>
        </x:is>
      </x:c>
      <x:c r="M17" s="2" t="inlineStr">
        <x:is>
          <x:t xml:space="preserve">IT</x:t>
        </x:is>
      </x:c>
      <x:c r="N17" s="3" t="n">
        <x:v>45722</x:v>
      </x:c>
      <x:c r="O17" s="2" t="inlineStr">
        <x:is>
          <x:t xml:space="preserve"/>
        </x:is>
      </x:c>
      <x:c r="P17" s="5" t="n">
        <x:v>0</x:v>
      </x:c>
      <x:c r="Q17" s="3" t="n">
        <x:v>45713</x:v>
      </x:c>
      <x:c r="R17" s="2" t="inlineStr">
        <x:is>
          <x:t xml:space="preserve">VIA CARLO PISACANE  28/30</x:t>
        </x:is>
      </x:c>
      <x:c r="S17" s="2" t="inlineStr">
        <x:is>
          <x:t xml:space="preserve">CIVITANOVA MARCHE</x:t>
        </x:is>
      </x:c>
      <x:c r="T17" s="2" t="inlineStr">
        <x:is>
          <x:t xml:space="preserve">FOR_IT</x:t>
        </x:is>
      </x:c>
      <x:c r="U17" s="6" t="n">
        <x:v>0</x:v>
      </x:c>
      <x:c r="V17" s="2" t="inlineStr">
        <x:is>
          <x:t xml:space="preserve">02127160436</x:t>
        </x:is>
      </x:c>
      <x:c r="W17" s="2" t="inlineStr">
        <x:is>
          <x:t xml:space="preserve">PLNSLV75H51E783B</x:t>
        </x:is>
      </x:c>
      <x:c r="X17" s="2" t="inlineStr">
        <x:is>
          <x:t xml:space="preserve">TD04</x:t>
        </x:is>
      </x:c>
    </x:row>
    <x:row r="18">
      <x:c r="A18" s="2" t="inlineStr">
        <x:is>
          <x:t xml:space="preserve">FAI25-00053</x:t>
        </x:is>
      </x:c>
      <x:c r="B18" s="2" t="inlineStr">
        <x:is>
          <x:t xml:space="preserve">F00091</x:t>
        </x:is>
      </x:c>
      <x:c r="C18" s="2" t="inlineStr">
        <x:is>
          <x:t xml:space="preserve">Edenred italia s.r.l. </x:t>
        </x:is>
      </x:c>
      <x:c r="D18" s="2" t="inlineStr">
        <x:is>
          <x:t xml:space="preserve"/>
        </x:is>
      </x:c>
      <x:c r="E18" s="3" t="n">
        <x:v/>
      </x:c>
      <x:c r="F18" s="4" t="n">
        <x:v>201.88</x:v>
      </x:c>
      <x:c r="G18" s="4" t="n">
        <x:v>209.96</x:v>
      </x:c>
      <x:c r="H18" s="4" t="n">
        <x:v>0</x:v>
      </x:c>
      <x:c r="I18" s="5" t="n">
        <x:f>TRUE()</x:f>
        <x:v>1</x:v>
      </x:c>
      <x:c r="J18" s="5" t="n">
        <x:f>FALSE()</x:f>
        <x:v>0</x:v>
      </x:c>
      <x:c r="K18" s="5" t="n">
        <x:f>FALSE()</x:f>
        <x:v>0</x:v>
      </x:c>
      <x:c r="L18" s="2" t="inlineStr">
        <x:is>
          <x:t xml:space="preserve">20100</x:t>
        </x:is>
      </x:c>
      <x:c r="M18" s="2" t="inlineStr">
        <x:is>
          <x:t xml:space="preserve">IT</x:t>
        </x:is>
      </x:c>
      <x:c r="N18" s="3" t="n">
        <x:v>45714</x:v>
      </x:c>
      <x:c r="O18" s="2" t="inlineStr">
        <x:is>
          <x:t xml:space="preserve"/>
        </x:is>
      </x:c>
      <x:c r="P18" s="5" t="n">
        <x:v>0</x:v>
      </x:c>
      <x:c r="Q18" s="3" t="n">
        <x:v>45710</x:v>
      </x:c>
      <x:c r="R18" s="2" t="inlineStr">
        <x:is>
          <x:t xml:space="preserve">Via G.B. Pirelli n.18</x:t>
        </x:is>
      </x:c>
      <x:c r="S18" s="2" t="inlineStr">
        <x:is>
          <x:t xml:space="preserve">MILANO</x:t>
        </x:is>
      </x:c>
      <x:c r="T18" s="2" t="inlineStr">
        <x:is>
          <x:t xml:space="preserve">FOR_IT</x:t>
        </x:is>
      </x:c>
      <x:c r="U18" s="6" t="n">
        <x:v>0</x:v>
      </x:c>
      <x:c r="V18" s="2" t="inlineStr">
        <x:is>
          <x:t xml:space="preserve">09429840151</x:t>
        </x:is>
      </x:c>
      <x:c r="W18" s="2" t="inlineStr">
        <x:is>
          <x:t xml:space="preserve">01014660417</x:t>
        </x:is>
      </x:c>
      <x:c r="X18" s="2" t="inlineStr">
        <x:is>
          <x:t xml:space="preserve">TD04</x:t>
        </x:is>
      </x:c>
    </x:row>
    <x:row r="19">
      <x:c r="A19" s="2" t="inlineStr">
        <x:is>
          <x:t xml:space="preserve">FAI25-00030</x:t>
        </x:is>
      </x:c>
      <x:c r="B19" s="2" t="inlineStr">
        <x:is>
          <x:t xml:space="preserve">F00019</x:t>
        </x:is>
      </x:c>
      <x:c r="C19" s="2" t="inlineStr">
        <x:is>
          <x:t xml:space="preserve">Volkswagen Leasing GMBH</x:t>
        </x:is>
      </x:c>
      <x:c r="D19" s="2" t="inlineStr">
        <x:is>
          <x:t xml:space="preserve"/>
        </x:is>
      </x:c>
      <x:c r="E19" s="3" t="n">
        <x:v/>
      </x:c>
      <x:c r="F19" s="4" t="n">
        <x:v>322.59</x:v>
      </x:c>
      <x:c r="G19" s="4" t="n">
        <x:v>393.56</x:v>
      </x:c>
      <x:c r="H19" s="4" t="n">
        <x:v>0</x:v>
      </x:c>
      <x:c r="I19" s="5" t="n">
        <x:f>TRUE()</x:f>
        <x:v>1</x:v>
      </x:c>
      <x:c r="J19" s="5" t="n">
        <x:f>FALSE()</x:f>
        <x:v>0</x:v>
      </x:c>
      <x:c r="K19" s="5" t="n">
        <x:f>FALSE()</x:f>
        <x:v>0</x:v>
      </x:c>
      <x:c r="L19" s="2" t="inlineStr">
        <x:is>
          <x:t xml:space="preserve">38122</x:t>
        </x:is>
      </x:c>
      <x:c r="M19" s="2" t="inlineStr">
        <x:is>
          <x:t xml:space="preserve">DE</x:t>
        </x:is>
      </x:c>
      <x:c r="N19" s="3" t="n">
        <x:v>45694</x:v>
      </x:c>
      <x:c r="O19" s="2" t="inlineStr">
        <x:is>
          <x:t xml:space="preserve"/>
        </x:is>
      </x:c>
      <x:c r="P19" s="5" t="n">
        <x:v>0</x:v>
      </x:c>
      <x:c r="Q19" s="3" t="n">
        <x:v>45692</x:v>
      </x:c>
      <x:c r="R19" s="2" t="inlineStr">
        <x:is>
          <x:t xml:space="preserve">GIFHORNER STRASSE 57</x:t>
        </x:is>
      </x:c>
      <x:c r="S19" s="2" t="inlineStr">
        <x:is>
          <x:t xml:space="preserve">Braunschwieg</x:t>
        </x:is>
      </x:c>
      <x:c r="T19" s="2" t="inlineStr">
        <x:is>
          <x:t xml:space="preserve">FOR_IT</x:t>
        </x:is>
      </x:c>
      <x:c r="U19" s="6" t="n">
        <x:v>0</x:v>
      </x:c>
      <x:c r="V19" s="2" t="inlineStr">
        <x:is>
          <x:t xml:space="preserve">12549080153</x:t>
        </x:is>
      </x:c>
      <x:c r="W19" s="2" t="inlineStr">
        <x:is>
          <x:t xml:space="preserve">12549080153</x:t>
        </x:is>
      </x:c>
      <x:c r="X19" s="2" t="inlineStr">
        <x:is>
          <x:t xml:space="preserve">TD04</x:t>
        </x:is>
      </x:c>
    </x:row>
    <x:row r="20">
      <x:c r="A20" s="2" t="inlineStr">
        <x:is>
          <x:t xml:space="preserve">FAI25-00019</x:t>
        </x:is>
      </x:c>
      <x:c r="B20" s="2" t="inlineStr">
        <x:is>
          <x:t xml:space="preserve">F00049</x:t>
        </x:is>
      </x:c>
      <x:c r="C20" s="2" t="inlineStr">
        <x:is>
          <x:t xml:space="preserve">Innero Emilia</x:t>
        </x:is>
      </x:c>
      <x:c r="D20" s="2" t="inlineStr">
        <x:is>
          <x:t xml:space="preserve"/>
        </x:is>
      </x:c>
      <x:c r="E20" s="3" t="n">
        <x:v/>
      </x:c>
      <x:c r="F20" s="4" t="n">
        <x:v>13431.58</x:v>
      </x:c>
      <x:c r="G20" s="4" t="n">
        <x:v>13431.58</x:v>
      </x:c>
      <x:c r="H20" s="4" t="n">
        <x:v>-13431.58</x:v>
      </x:c>
      <x:c r="I20" s="5" t="n">
        <x:f>FALSE()</x:f>
        <x:v>0</x:v>
      </x:c>
      <x:c r="J20" s="5" t="n">
        <x:f>FALSE()</x:f>
        <x:v>0</x:v>
      </x:c>
      <x:c r="K20" s="5" t="n">
        <x:f>FALSE()</x:f>
        <x:v>0</x:v>
      </x:c>
      <x:c r="L20" s="2" t="inlineStr">
        <x:is>
          <x:t xml:space="preserve">65126</x:t>
        </x:is>
      </x:c>
      <x:c r="M20" s="2" t="inlineStr">
        <x:is>
          <x:t xml:space="preserve">IT</x:t>
        </x:is>
      </x:c>
      <x:c r="N20" s="3" t="n">
        <x:v>45677</x:v>
      </x:c>
      <x:c r="O20" s="2" t="inlineStr">
        <x:is>
          <x:t xml:space="preserve"/>
        </x:is>
      </x:c>
      <x:c r="P20" s="5" t="n">
        <x:v>0</x:v>
      </x:c>
      <x:c r="Q20" s="3" t="n">
        <x:v>45674</x:v>
      </x:c>
      <x:c r="R20" s="2" t="inlineStr">
        <x:is>
          <x:t xml:space="preserve">via Guelfi 60</x:t>
        </x:is>
      </x:c>
      <x:c r="S20" s="2" t="inlineStr">
        <x:is>
          <x:t xml:space="preserve">Pescara</x:t>
        </x:is>
      </x:c>
      <x:c r="T20" s="2" t="inlineStr">
        <x:is>
          <x:t xml:space="preserve">FOR_IT</x:t>
        </x:is>
      </x:c>
      <x:c r="U20" s="6" t="n">
        <x:v>0</x:v>
      </x:c>
      <x:c r="V20" s="2" t="inlineStr">
        <x:is>
          <x:t xml:space="preserve">02333660682</x:t>
        </x:is>
      </x:c>
      <x:c r="W20" s="2" t="inlineStr">
        <x:is>
          <x:t xml:space="preserve">NNRMLE82R70G482W</x:t>
        </x:is>
      </x:c>
      <x:c r="X20" s="2" t="inlineStr">
        <x:is>
          <x:t xml:space="preserve">TD04</x:t>
        </x:is>
      </x:c>
    </x:row>
  </x:sheetData>
  <x:tableParts count="1">
    <x:tablePart r:id="rTableId1Update"/>
  </x:tableParts>
</x:worksheet>
</file>